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\DA _ANB13\Excel\"/>
    </mc:Choice>
  </mc:AlternateContent>
  <xr:revisionPtr revIDLastSave="0" documentId="13_ncr:1_{FDDCD3CB-CE79-437E-AD64-D27AF3AA7EB1}" xr6:coauthVersionLast="47" xr6:coauthVersionMax="47" xr10:uidLastSave="{00000000-0000-0000-0000-000000000000}"/>
  <workbookProtection workbookAlgorithmName="SHA-512" workbookHashValue="WNOGIaL1tQec6ij7HOrDmsMoDoPsf1bkl5KRJymA5DHuM3Xxl3KZ9lFT96fBwZ0Fi62kHseybBxgfNlkWxA3bQ==" workbookSaltValue="a+PZONgAJYkR4/TPONtWvA==" workbookSpinCount="100000" lockStructure="1"/>
  <bookViews>
    <workbookView xWindow="-120" yWindow="-120" windowWidth="20730" windowHeight="11040" activeTab="1" xr2:uid="{00000000-000D-0000-FFFF-FFFF00000000}"/>
  </bookViews>
  <sheets>
    <sheet name="Intro" sheetId="2" r:id="rId1"/>
    <sheet name="HLOOKUP_Practic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1" l="1"/>
  <c r="H11" i="1"/>
  <c r="H10" i="1"/>
  <c r="N15" i="1"/>
  <c r="N14" i="1"/>
  <c r="N13" i="1"/>
  <c r="N12" i="1"/>
  <c r="N11" i="1"/>
  <c r="N10" i="1"/>
  <c r="N9" i="1"/>
</calcChain>
</file>

<file path=xl/sharedStrings.xml><?xml version="1.0" encoding="utf-8"?>
<sst xmlns="http://schemas.openxmlformats.org/spreadsheetml/2006/main" count="68" uniqueCount="55">
  <si>
    <t>Record1</t>
  </si>
  <si>
    <t>Record2</t>
  </si>
  <si>
    <t>Record3</t>
  </si>
  <si>
    <t>Record4</t>
  </si>
  <si>
    <t>Record5</t>
  </si>
  <si>
    <t>Record6</t>
  </si>
  <si>
    <t>Record7</t>
  </si>
  <si>
    <t>Record8</t>
  </si>
  <si>
    <t>Record9</t>
  </si>
  <si>
    <t>Record10</t>
  </si>
  <si>
    <t>Problem</t>
  </si>
  <si>
    <t>Solution</t>
  </si>
  <si>
    <t>EmpID</t>
  </si>
  <si>
    <t>Name</t>
  </si>
  <si>
    <t>Department</t>
  </si>
  <si>
    <t>Location</t>
  </si>
  <si>
    <t>Salary</t>
  </si>
  <si>
    <t>Bonus %</t>
  </si>
  <si>
    <t>Alice Wong</t>
  </si>
  <si>
    <t>Finance</t>
  </si>
  <si>
    <t>New York</t>
  </si>
  <si>
    <t>Bob Smith</t>
  </si>
  <si>
    <t>Marketing</t>
  </si>
  <si>
    <t>Chicago</t>
  </si>
  <si>
    <t>Carol Jones</t>
  </si>
  <si>
    <t>IT</t>
  </si>
  <si>
    <t>San Diego</t>
  </si>
  <si>
    <t>David Chen</t>
  </si>
  <si>
    <t>HR</t>
  </si>
  <si>
    <t>Emily Davis</t>
  </si>
  <si>
    <t>Frank Lee</t>
  </si>
  <si>
    <t>Boston</t>
  </si>
  <si>
    <t>Grace Hall</t>
  </si>
  <si>
    <t>Henry Adams</t>
  </si>
  <si>
    <t>Irene Scott</t>
  </si>
  <si>
    <t>Jack White</t>
  </si>
  <si>
    <t>1. Use HLOOKUP to find the Name of EmpID 104.</t>
  </si>
  <si>
    <t>2. Retrieve the Department of EmpID 106.</t>
  </si>
  <si>
    <t>3. Find the Salary of EmpID 102.</t>
  </si>
  <si>
    <t>4. Get the Bonus % for EmpID 109.</t>
  </si>
  <si>
    <t>5. Find the Location of EmpID 101.</t>
  </si>
  <si>
    <t>6. Use HLOOKUP to return the Salary of EmpID 110.</t>
  </si>
  <si>
    <t>7. Retrieve the Department of EmpID 103.</t>
  </si>
  <si>
    <t>8. Find the Name of the employee with Salary 62,000 (needs MATCH).</t>
  </si>
  <si>
    <t>9. Compute total compensation for EmpID 105 (Salary + Bonus).</t>
  </si>
  <si>
    <t>10. Get the Location of EmpID 107.</t>
  </si>
  <si>
    <t>Brought to you by PivotXL</t>
  </si>
  <si>
    <t>https://pivotxl.com/</t>
  </si>
  <si>
    <t xml:space="preserve">📬 Sign up for Free
</t>
  </si>
  <si>
    <t>HLookup Practice Problems</t>
  </si>
  <si>
    <t>🎯 What This Template Teaches
This template helps you practice using the HLOOKUP function with a realistic dataset arranged horizontally. You’ll learn to:
Write HLOOKUP formulas to retrieve values from rows instead of columns.
Return information like department, salary, or location from a row-based lookup table.
Solve real-world business problems where data is structured across rows, such as quarterly sales, budget allocations, or cross-tab reports.</t>
  </si>
  <si>
    <t>💡 Next Step: Automate It with PivotXL
This HLOOKUP practice template is a great way to learn the basics. But in real scenarios, manually building horizontal lookups can be slow and error-prone. PivotXL connects directly to your data, applies lookups automatically, and refreshes results instantly — so your reports are always accurate and up to date.</t>
  </si>
  <si>
    <t>For Solutions - Look up the following article</t>
  </si>
  <si>
    <t>https://pivotxl.com/hlookup-practice-exercises-xls-download/</t>
  </si>
  <si>
    <t>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</si>
</sst>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6" fillId="0" borderId="0" xfId="1" applyFont="1"/>
    <xf numFmtId="0" fontId="1" fillId="0" borderId="3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1" applyAlignment="1">
      <alignment wrapText="1"/>
    </xf>
    <xf numFmtId="0" fontId="7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84600" cy="2545429"/>
    <xdr:pic>
      <xdr:nvPicPr>
        <xdr:cNvPr id="2" name="Picture 1">
          <a:extLst>
            <a:ext uri="{FF2B5EF4-FFF2-40B4-BE49-F238E27FC236}">
              <a16:creationId xmlns:a16="http://schemas.microsoft.com/office/drawing/2014/main" id="{288E43DB-812C-4651-AB88-BB925CCD5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84600" cy="2545429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8CB78D-A918-4611-AA58-EB1720E20BFD}" name="emp" displayName="emp" ref="A1:K7" totalsRowShown="0" headerRowDxfId="2" headerRowBorderDxfId="1" tableBorderDxfId="0">
  <autoFilter ref="A1:K7" xr:uid="{F08CB78D-A918-4611-AA58-EB1720E20BFD}"/>
  <tableColumns count="11">
    <tableColumn id="1" xr3:uid="{DDA83285-63C6-4025-9628-1F446F6EA3FA}" name="Headers"/>
    <tableColumn id="2" xr3:uid="{80B6FA4E-484E-4EAA-98A5-52B9AC7AD800}" name="Record1"/>
    <tableColumn id="3" xr3:uid="{F8EA912E-15F7-43AF-8077-A39FF2B1A7CB}" name="Record2"/>
    <tableColumn id="4" xr3:uid="{F9B04543-1562-4D60-8645-4FAE0EE9D4A1}" name="Record3"/>
    <tableColumn id="5" xr3:uid="{5041752F-08AA-484A-BAEA-62B5D89BFD56}" name="Record4"/>
    <tableColumn id="6" xr3:uid="{D2DCE72A-678C-460E-9F6C-04FA100CFD18}" name="Record5"/>
    <tableColumn id="7" xr3:uid="{FD519996-09AD-4970-847C-6CAC5B42A5A8}" name="Record6"/>
    <tableColumn id="8" xr3:uid="{8ACB50C4-0967-4FCE-BE89-56F9F38A1714}" name="Record7"/>
    <tableColumn id="9" xr3:uid="{56796CD3-3E91-4BE9-8F47-75252E76BFA3}" name="Record8"/>
    <tableColumn id="10" xr3:uid="{2C00ADE3-0C01-4158-90E1-B28A7A610968}" name="Record9"/>
    <tableColumn id="11" xr3:uid="{A24C5C6D-4887-4323-8F27-66486EEB6FAC}" name="Record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ivotxl.com/" TargetMode="External"/><Relationship Id="rId1" Type="http://schemas.openxmlformats.org/officeDocument/2006/relationships/hyperlink" Target="https://pivotxl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pivotxl.com/hlookup-practice-exercises-xls-downloa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1911-70EE-4952-8543-292ABE0DE802}">
  <dimension ref="A6:L43"/>
  <sheetViews>
    <sheetView workbookViewId="0">
      <selection activeCell="A31" sqref="A31:L37"/>
    </sheetView>
  </sheetViews>
  <sheetFormatPr defaultColWidth="10.85546875" defaultRowHeight="15" x14ac:dyDescent="0.25"/>
  <cols>
    <col min="6" max="6" width="17" bestFit="1" customWidth="1"/>
  </cols>
  <sheetData>
    <row r="6" spans="6:12" x14ac:dyDescent="0.25">
      <c r="F6" s="5" t="s">
        <v>49</v>
      </c>
      <c r="G6" s="5"/>
      <c r="H6" s="5"/>
      <c r="I6" s="5"/>
      <c r="J6" s="5"/>
      <c r="K6" s="5"/>
      <c r="L6" s="5"/>
    </row>
    <row r="7" spans="6:12" x14ac:dyDescent="0.25">
      <c r="F7" s="5"/>
      <c r="G7" s="5"/>
      <c r="H7" s="5"/>
      <c r="I7" s="5"/>
      <c r="J7" s="5"/>
      <c r="K7" s="5"/>
      <c r="L7" s="5"/>
    </row>
    <row r="8" spans="6:12" x14ac:dyDescent="0.25">
      <c r="F8" s="5"/>
      <c r="G8" s="5"/>
      <c r="H8" s="5"/>
      <c r="I8" s="5"/>
      <c r="J8" s="5"/>
      <c r="K8" s="5"/>
      <c r="L8" s="5"/>
    </row>
    <row r="10" spans="6:12" x14ac:dyDescent="0.25">
      <c r="F10" s="6" t="s">
        <v>46</v>
      </c>
      <c r="G10" s="6"/>
      <c r="H10" s="6"/>
      <c r="I10" s="6"/>
      <c r="J10" s="6"/>
      <c r="K10" s="6"/>
      <c r="L10" s="6"/>
    </row>
    <row r="11" spans="6:12" x14ac:dyDescent="0.25">
      <c r="F11" s="6"/>
      <c r="G11" s="6"/>
      <c r="H11" s="6"/>
      <c r="I11" s="6"/>
      <c r="J11" s="6"/>
      <c r="K11" s="6"/>
      <c r="L11" s="6"/>
    </row>
    <row r="13" spans="6:12" x14ac:dyDescent="0.25">
      <c r="F13" s="2" t="s">
        <v>47</v>
      </c>
    </row>
    <row r="18" spans="1:12" x14ac:dyDescent="0.25">
      <c r="A18" s="7" t="s">
        <v>50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31" spans="1:12" x14ac:dyDescent="0.25">
      <c r="A31" s="10" t="s">
        <v>51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9" spans="1:12" x14ac:dyDescent="0.25">
      <c r="A39" s="11" t="s">
        <v>48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23.25" x14ac:dyDescent="0.35">
      <c r="A43" s="3" t="s">
        <v>47</v>
      </c>
    </row>
  </sheetData>
  <sheetProtection algorithmName="SHA-512" hashValue="eRihsFcJp0uA6GSeH6HLRaV1U95a+8z6U1F+V1OFziyBvCAQqj5KujmjxGZQu0aB4OZhzl1DkqiLyn3IOdIYig==" saltValue="nJDoIeSEbMILeqooESvSbQ==" spinCount="100000" sheet="1" objects="1" scenarios="1"/>
  <mergeCells count="5">
    <mergeCell ref="F6:L8"/>
    <mergeCell ref="F10:L11"/>
    <mergeCell ref="A18:L27"/>
    <mergeCell ref="A31:L37"/>
    <mergeCell ref="A39:L42"/>
  </mergeCells>
  <hyperlinks>
    <hyperlink ref="F13" r:id="rId1" xr:uid="{C6DB1459-AAD7-4C8C-A445-90B8AD5E3C8A}"/>
    <hyperlink ref="A43" r:id="rId2" xr:uid="{CC70452C-B962-46AD-9275-10074F2809B9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E1" workbookViewId="0">
      <selection activeCell="N16" sqref="N16"/>
    </sheetView>
  </sheetViews>
  <sheetFormatPr defaultRowHeight="15" x14ac:dyDescent="0.25"/>
  <cols>
    <col min="1" max="1" width="23.7109375" customWidth="1"/>
    <col min="2" max="2" width="11" bestFit="1" customWidth="1"/>
    <col min="3" max="3" width="10.28515625" customWidth="1"/>
    <col min="4" max="6" width="11" bestFit="1" customWidth="1"/>
    <col min="7" max="8" width="10.28515625" customWidth="1"/>
    <col min="9" max="9" width="12.7109375" bestFit="1" customWidth="1"/>
    <col min="10" max="10" width="10.5703125" bestFit="1" customWidth="1"/>
    <col min="11" max="11" width="11.28515625" customWidth="1"/>
    <col min="12" max="12" width="2" bestFit="1" customWidth="1"/>
    <col min="13" max="13" width="63.85546875" bestFit="1" customWidth="1"/>
    <col min="14" max="14" width="42.28515625" bestFit="1" customWidth="1"/>
  </cols>
  <sheetData>
    <row r="1" spans="1:14" x14ac:dyDescent="0.25">
      <c r="A1" s="4" t="s">
        <v>54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1">
        <v>0</v>
      </c>
    </row>
    <row r="2" spans="1:14" x14ac:dyDescent="0.25">
      <c r="A2" t="s">
        <v>12</v>
      </c>
      <c r="B2">
        <v>101</v>
      </c>
      <c r="C2">
        <v>102</v>
      </c>
      <c r="D2">
        <v>103</v>
      </c>
      <c r="E2">
        <v>104</v>
      </c>
      <c r="F2">
        <v>105</v>
      </c>
      <c r="G2">
        <v>106</v>
      </c>
      <c r="H2">
        <v>107</v>
      </c>
      <c r="I2">
        <v>108</v>
      </c>
      <c r="J2">
        <v>109</v>
      </c>
      <c r="K2">
        <v>110</v>
      </c>
    </row>
    <row r="3" spans="1:14" x14ac:dyDescent="0.25">
      <c r="A3" t="s">
        <v>13</v>
      </c>
      <c r="B3" t="s">
        <v>18</v>
      </c>
      <c r="C3" t="s">
        <v>21</v>
      </c>
      <c r="D3" t="s">
        <v>24</v>
      </c>
      <c r="E3" t="s">
        <v>27</v>
      </c>
      <c r="F3" t="s">
        <v>29</v>
      </c>
      <c r="G3" t="s">
        <v>30</v>
      </c>
      <c r="H3" t="s">
        <v>32</v>
      </c>
      <c r="I3" t="s">
        <v>33</v>
      </c>
      <c r="J3" t="s">
        <v>34</v>
      </c>
      <c r="K3" t="s">
        <v>35</v>
      </c>
    </row>
    <row r="4" spans="1:14" x14ac:dyDescent="0.25">
      <c r="A4" t="s">
        <v>14</v>
      </c>
      <c r="B4" t="s">
        <v>19</v>
      </c>
      <c r="C4" t="s">
        <v>22</v>
      </c>
      <c r="D4" t="s">
        <v>25</v>
      </c>
      <c r="E4" t="s">
        <v>28</v>
      </c>
      <c r="F4" t="s">
        <v>19</v>
      </c>
      <c r="G4" t="s">
        <v>22</v>
      </c>
      <c r="H4" t="s">
        <v>25</v>
      </c>
      <c r="I4" t="s">
        <v>28</v>
      </c>
      <c r="J4" t="s">
        <v>19</v>
      </c>
      <c r="K4" t="s">
        <v>25</v>
      </c>
    </row>
    <row r="5" spans="1:14" x14ac:dyDescent="0.25">
      <c r="A5" t="s">
        <v>15</v>
      </c>
      <c r="B5" t="s">
        <v>20</v>
      </c>
      <c r="C5" t="s">
        <v>23</v>
      </c>
      <c r="D5" t="s">
        <v>26</v>
      </c>
      <c r="E5" t="s">
        <v>20</v>
      </c>
      <c r="F5" t="s">
        <v>23</v>
      </c>
      <c r="G5" t="s">
        <v>31</v>
      </c>
      <c r="H5" t="s">
        <v>26</v>
      </c>
      <c r="I5" t="s">
        <v>23</v>
      </c>
      <c r="J5" t="s">
        <v>31</v>
      </c>
      <c r="K5" t="s">
        <v>20</v>
      </c>
    </row>
    <row r="6" spans="1:14" x14ac:dyDescent="0.25">
      <c r="A6" t="s">
        <v>16</v>
      </c>
      <c r="B6">
        <v>65000</v>
      </c>
      <c r="C6">
        <v>72000</v>
      </c>
      <c r="D6">
        <v>80000</v>
      </c>
      <c r="E6">
        <v>58000</v>
      </c>
      <c r="F6">
        <v>62000</v>
      </c>
      <c r="G6">
        <v>76000</v>
      </c>
      <c r="H6">
        <v>82000</v>
      </c>
      <c r="I6">
        <v>55000</v>
      </c>
      <c r="J6">
        <v>68000</v>
      </c>
      <c r="K6">
        <v>85000</v>
      </c>
    </row>
    <row r="7" spans="1:14" x14ac:dyDescent="0.25">
      <c r="A7" t="s">
        <v>17</v>
      </c>
      <c r="B7">
        <v>0.1</v>
      </c>
      <c r="C7">
        <v>0.12</v>
      </c>
      <c r="D7">
        <v>0.08</v>
      </c>
      <c r="E7">
        <v>0.09</v>
      </c>
      <c r="F7">
        <v>0.11</v>
      </c>
      <c r="G7">
        <v>0.1</v>
      </c>
      <c r="H7">
        <v>7.0000000000000007E-2</v>
      </c>
      <c r="I7">
        <v>0.09</v>
      </c>
      <c r="J7">
        <v>0.1</v>
      </c>
      <c r="K7">
        <v>0.12</v>
      </c>
    </row>
    <row r="8" spans="1:14" x14ac:dyDescent="0.25">
      <c r="M8" s="1" t="s">
        <v>10</v>
      </c>
      <c r="N8" s="1" t="s">
        <v>11</v>
      </c>
    </row>
    <row r="9" spans="1:14" x14ac:dyDescent="0.25">
      <c r="M9" t="s">
        <v>36</v>
      </c>
      <c r="N9" t="str">
        <f>HLOOKUP(104, B2:K6, 2, FALSE)</f>
        <v>David Chen</v>
      </c>
    </row>
    <row r="10" spans="1:14" x14ac:dyDescent="0.25">
      <c r="H10">
        <f>INDEX(emp[],1,5)</f>
        <v>104</v>
      </c>
      <c r="M10" t="s">
        <v>37</v>
      </c>
      <c r="N10" t="str">
        <f>HLOOKUP(106,emp[],4,FALSE)</f>
        <v>Boston</v>
      </c>
    </row>
    <row r="11" spans="1:14" x14ac:dyDescent="0.25">
      <c r="F11">
        <f>INDEX(emp[],1,2)</f>
        <v>101</v>
      </c>
      <c r="H11" t="str">
        <f>HLOOKUP(INDEX(emp[],1,MATCH("department",emp[Headers],0)),emp[],MATCH("name",emp[Headers],0))</f>
        <v>Bob Smith</v>
      </c>
      <c r="M11" t="s">
        <v>38</v>
      </c>
      <c r="N11">
        <f>HLOOKUP(102,emp[],5)</f>
        <v>72000</v>
      </c>
    </row>
    <row r="12" spans="1:14" x14ac:dyDescent="0.25">
      <c r="M12" t="s">
        <v>39</v>
      </c>
      <c r="N12">
        <f>HLOOKUP(109,emp[],6)</f>
        <v>0.1</v>
      </c>
    </row>
    <row r="13" spans="1:14" x14ac:dyDescent="0.25">
      <c r="M13" t="s">
        <v>40</v>
      </c>
      <c r="N13" t="str">
        <f>HLOOKUP(101,emp[],4,FALSE)</f>
        <v>New York</v>
      </c>
    </row>
    <row r="14" spans="1:14" x14ac:dyDescent="0.25">
      <c r="M14" t="s">
        <v>41</v>
      </c>
      <c r="N14">
        <f>HLOOKUP(110,emp[],5)</f>
        <v>85000</v>
      </c>
    </row>
    <row r="15" spans="1:14" x14ac:dyDescent="0.25">
      <c r="M15" t="s">
        <v>42</v>
      </c>
      <c r="N15" t="str">
        <f>HLOOKUP(103,emp[],3)</f>
        <v>IT</v>
      </c>
    </row>
    <row r="16" spans="1:14" x14ac:dyDescent="0.25">
      <c r="M16" t="s">
        <v>43</v>
      </c>
    </row>
    <row r="17" spans="1:14" ht="21" x14ac:dyDescent="0.35">
      <c r="A17" s="12" t="s">
        <v>52</v>
      </c>
      <c r="B17" s="12"/>
      <c r="C17" s="12"/>
      <c r="D17" s="12"/>
      <c r="E17" s="12"/>
      <c r="F17" s="12"/>
      <c r="G17" s="12"/>
      <c r="H17" s="12"/>
      <c r="I17" s="12"/>
      <c r="M17" t="s">
        <v>44</v>
      </c>
    </row>
    <row r="18" spans="1:14" ht="26.25" x14ac:dyDescent="0.4">
      <c r="A18" s="13" t="s">
        <v>53</v>
      </c>
      <c r="B18" s="14"/>
      <c r="C18" s="14"/>
      <c r="D18" s="14"/>
      <c r="E18" s="14"/>
      <c r="F18" s="14"/>
      <c r="G18" s="14"/>
      <c r="H18" s="14"/>
      <c r="I18" s="14"/>
      <c r="M18" t="s">
        <v>45</v>
      </c>
      <c r="N18">
        <v>0</v>
      </c>
    </row>
  </sheetData>
  <mergeCells count="2">
    <mergeCell ref="A17:I17"/>
    <mergeCell ref="A18:I18"/>
  </mergeCells>
  <hyperlinks>
    <hyperlink ref="A18" r:id="rId1" xr:uid="{E7E3265E-DCC0-407E-9E58-94A3FFC67B5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HLOOKUP_Practice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s</dc:creator>
  <cp:lastModifiedBy>Admin</cp:lastModifiedBy>
  <dcterms:created xsi:type="dcterms:W3CDTF">2025-08-19T13:38:22Z</dcterms:created>
  <dcterms:modified xsi:type="dcterms:W3CDTF">2025-12-26T03:38:53Z</dcterms:modified>
</cp:coreProperties>
</file>