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F43A103D-AE52-4F41-B7FA-67D658881C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  <sheet name="ProductMaster" sheetId="2" r:id="rId2"/>
    <sheet name="Employee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K13" i="1"/>
  <c r="K14" i="1"/>
  <c r="K12" i="1"/>
  <c r="H13" i="1"/>
  <c r="H14" i="1"/>
  <c r="H15" i="1"/>
  <c r="H16" i="1"/>
  <c r="H12" i="1"/>
  <c r="E3" i="1"/>
  <c r="E4" i="1"/>
  <c r="E5" i="1"/>
  <c r="E6" i="1"/>
  <c r="E2" i="1"/>
  <c r="C3" i="1"/>
  <c r="C4" i="1"/>
  <c r="C5" i="1"/>
  <c r="C6" i="1"/>
  <c r="C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<sst xmlns="http://schemas.openxmlformats.org/spreadsheetml/2006/main" count="70" uniqueCount="43">
  <si>
    <t>Order ID</t>
  </si>
  <si>
    <t>Product ID</t>
  </si>
  <si>
    <t>Employee ID</t>
  </si>
  <si>
    <t>Units Sold</t>
  </si>
  <si>
    <t>O001</t>
  </si>
  <si>
    <t>P101</t>
  </si>
  <si>
    <t>E01</t>
  </si>
  <si>
    <t>O002</t>
  </si>
  <si>
    <t>P102</t>
  </si>
  <si>
    <t>E02</t>
  </si>
  <si>
    <t>O003</t>
  </si>
  <si>
    <t>P103</t>
  </si>
  <si>
    <t>E03</t>
  </si>
  <si>
    <t>O004</t>
  </si>
  <si>
    <t>P104</t>
  </si>
  <si>
    <t>O005</t>
  </si>
  <si>
    <t>Product Name</t>
  </si>
  <si>
    <t>Category</t>
  </si>
  <si>
    <t>Unit Price</t>
  </si>
  <si>
    <t>Keyboard</t>
  </si>
  <si>
    <t>Accessories</t>
  </si>
  <si>
    <t>Mouse</t>
  </si>
  <si>
    <t>Monitor</t>
  </si>
  <si>
    <t>Electronics</t>
  </si>
  <si>
    <t>Laptop</t>
  </si>
  <si>
    <t>Employee Name</t>
  </si>
  <si>
    <t>Department</t>
  </si>
  <si>
    <t>Region</t>
  </si>
  <si>
    <t>Alice</t>
  </si>
  <si>
    <t>Sales</t>
  </si>
  <si>
    <t>North</t>
  </si>
  <si>
    <t>Bob</t>
  </si>
  <si>
    <t>Finance</t>
  </si>
  <si>
    <t>East</t>
  </si>
  <si>
    <t>Carol</t>
  </si>
  <si>
    <t>West</t>
  </si>
  <si>
    <t>Unit price</t>
  </si>
  <si>
    <t>p105</t>
  </si>
  <si>
    <t>Phone</t>
  </si>
  <si>
    <t>Emp_Region</t>
  </si>
  <si>
    <t>Revenue</t>
  </si>
  <si>
    <t>P105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</si>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</sst>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6" sqref="L6"/>
    </sheetView>
  </sheetViews>
  <sheetFormatPr defaultRowHeight="15" x14ac:dyDescent="0.25"/>
  <cols>
    <col min="2" max="2" width="10.140625" bestFit="1" customWidth="1"/>
    <col min="3" max="3" width="10.140625" customWidth="1"/>
    <col min="4" max="4" width="12.140625" bestFit="1" customWidth="1"/>
    <col min="5" max="5" width="12.140625" customWidth="1"/>
    <col min="7" max="7" width="10.140625" bestFit="1" customWidth="1"/>
  </cols>
  <sheetData>
    <row r="1" spans="1:11" x14ac:dyDescent="0.25">
      <c r="A1" t="s">
        <v>0</v>
      </c>
      <c r="B1" t="s">
        <v>1</v>
      </c>
      <c r="C1" t="s">
        <v>16</v>
      </c>
      <c r="D1" t="s">
        <v>2</v>
      </c>
      <c r="E1" t="s">
        <v>39</v>
      </c>
      <c r="F1" t="s">
        <v>3</v>
      </c>
      <c r="G1" t="s">
        <v>36</v>
      </c>
      <c r="H1" t="s">
        <v>40</v>
      </c>
    </row>
    <row r="2" spans="1:11" x14ac:dyDescent="0.25">
      <c r="A2" t="s">
        <v>4</v>
      </c>
      <c r="B2" t="s">
        <v>5</v>
      </c>
      <c r="C2" t="str">
        <f>VLOOKUP($B2,ProductMaster!$A$2:$D$6,2,FALSE)</f>
        <v>Keyboard</v>
      </c>
      <c r="D2" t="s">
        <v>6</v>
      </c>
      <c r="E2" t="str">
        <f>VLOOKUP($D2,EmployeeMaster!$A$2:$D$4,4)</f>
        <v>North</v>
      </c>
      <c r="F2">
        <v>5</v>
      </c>
      <c r="G2">
        <f>VLOOKUP(Sales!$B2,ProductMaster!A2:D5,4,FALSE)</f>
        <v>40</v>
      </c>
      <c r="H2">
        <f>$F2*_xlfn.XLOOKUP($B2,ProductMaster!$A$2:$A$6,ProductMaster!$D$2:$D$6)</f>
        <v>200</v>
      </c>
    </row>
    <row r="3" spans="1:11" x14ac:dyDescent="0.25">
      <c r="A3" t="s">
        <v>7</v>
      </c>
      <c r="B3" t="s">
        <v>8</v>
      </c>
      <c r="C3" t="str">
        <f>VLOOKUP($B3,ProductMaster!$A$2:$D$6,2,FALSE)</f>
        <v>Mouse</v>
      </c>
      <c r="D3" t="s">
        <v>9</v>
      </c>
      <c r="E3" t="str">
        <f>VLOOKUP($D3,EmployeeMaster!$A$2:$D$4,4)</f>
        <v>East</v>
      </c>
      <c r="F3">
        <v>3</v>
      </c>
      <c r="G3">
        <f>VLOOKUP(Sales!$B3,ProductMaster!A3:D6,4,FALSE)</f>
        <v>25</v>
      </c>
      <c r="H3">
        <f>$F3*_xlfn.XLOOKUP($B3,ProductMaster!$A$2:$A$6,ProductMaster!$D$2:$D$6)</f>
        <v>75</v>
      </c>
    </row>
    <row r="4" spans="1:11" x14ac:dyDescent="0.25">
      <c r="A4" t="s">
        <v>10</v>
      </c>
      <c r="B4" t="s">
        <v>11</v>
      </c>
      <c r="C4" t="str">
        <f>VLOOKUP($B4,ProductMaster!$A$2:$D$6,2,FALSE)</f>
        <v>Monitor</v>
      </c>
      <c r="D4" t="s">
        <v>12</v>
      </c>
      <c r="E4" t="str">
        <f>VLOOKUP($D4,EmployeeMaster!$A$2:$D$4,4)</f>
        <v>West</v>
      </c>
      <c r="F4">
        <v>8</v>
      </c>
      <c r="G4">
        <f>VLOOKUP(Sales!$B4,ProductMaster!A4:D7,4,FALSE)</f>
        <v>200</v>
      </c>
      <c r="H4">
        <f>$F4*_xlfn.XLOOKUP($B4,ProductMaster!$A$2:$A$6,ProductMaster!$D$2:$D$6)</f>
        <v>1600</v>
      </c>
    </row>
    <row r="5" spans="1:11" x14ac:dyDescent="0.25">
      <c r="A5" t="s">
        <v>13</v>
      </c>
      <c r="B5" t="s">
        <v>14</v>
      </c>
      <c r="C5" t="str">
        <f>VLOOKUP($B5,ProductMaster!$A$2:$D$6,2,FALSE)</f>
        <v>Laptop</v>
      </c>
      <c r="D5" t="s">
        <v>6</v>
      </c>
      <c r="E5" t="str">
        <f>VLOOKUP($D5,EmployeeMaster!$A$2:$D$4,4)</f>
        <v>North</v>
      </c>
      <c r="F5">
        <v>2</v>
      </c>
      <c r="G5">
        <f>VLOOKUP(Sales!$B5,ProductMaster!A5:D8,4,FALSE)</f>
        <v>800</v>
      </c>
      <c r="H5">
        <f>$F5*_xlfn.XLOOKUP($B5,ProductMaster!$A$2:$A$6,ProductMaster!$D$2:$D$6)</f>
        <v>1600</v>
      </c>
    </row>
    <row r="6" spans="1:11" x14ac:dyDescent="0.25">
      <c r="A6" t="s">
        <v>15</v>
      </c>
      <c r="B6" t="s">
        <v>41</v>
      </c>
      <c r="C6" t="str">
        <f>VLOOKUP($B6,ProductMaster!$A$2:$D$6,2,FALSE)</f>
        <v>Phone</v>
      </c>
      <c r="D6" t="s">
        <v>12</v>
      </c>
      <c r="E6" t="str">
        <f>VLOOKUP($D6,EmployeeMaster!$A$2:$D$4,4)</f>
        <v>West</v>
      </c>
      <c r="F6">
        <v>6</v>
      </c>
      <c r="G6">
        <f>VLOOKUP(Sales!$B6,ProductMaster!A6:D9,4,FALSE)</f>
        <v>1000</v>
      </c>
      <c r="H6">
        <f>$F6*_xlfn.XLOOKUP($B6,ProductMaster!$A$2:$A$6,ProductMaster!$D$2:$D$6)</f>
        <v>6000</v>
      </c>
    </row>
    <row r="11" spans="1:11" x14ac:dyDescent="0.25">
      <c r="G11" t="s">
        <v>1</v>
      </c>
      <c r="H11" t="s">
        <v>18</v>
      </c>
      <c r="J11" t="s">
        <v>42</v>
      </c>
      <c r="K11" t="s">
        <v>27</v>
      </c>
    </row>
    <row r="12" spans="1:11" x14ac:dyDescent="0.25">
      <c r="G12" t="s">
        <v>5</v>
      </c>
      <c r="H12">
        <f>_xlfn.XLOOKUP(G12,ProductMaster!A2:A6,ProductMaster!D2:D6)</f>
        <v>40</v>
      </c>
      <c r="J12" t="s">
        <v>6</v>
      </c>
      <c r="K12" t="str">
        <f>_xlfn.XLOOKUP($J12,EmployeeMaster!A2:A4,EmployeeMaster!D2:D4)</f>
        <v>North</v>
      </c>
    </row>
    <row r="13" spans="1:11" x14ac:dyDescent="0.25">
      <c r="G13" t="s">
        <v>8</v>
      </c>
      <c r="H13">
        <f>_xlfn.XLOOKUP(G13,ProductMaster!A3:A7,ProductMaster!D3:D7)</f>
        <v>25</v>
      </c>
      <c r="J13" t="s">
        <v>9</v>
      </c>
      <c r="K13" t="str">
        <f>_xlfn.XLOOKUP($J13,EmployeeMaster!A3:A5,EmployeeMaster!D3:D5)</f>
        <v>East</v>
      </c>
    </row>
    <row r="14" spans="1:11" x14ac:dyDescent="0.25">
      <c r="G14" t="s">
        <v>11</v>
      </c>
      <c r="H14">
        <f>_xlfn.XLOOKUP(G14,ProductMaster!A4:A8,ProductMaster!D4:D8)</f>
        <v>200</v>
      </c>
      <c r="J14" t="s">
        <v>12</v>
      </c>
      <c r="K14" t="str">
        <f>_xlfn.XLOOKUP($J14,EmployeeMaster!A4:A6,EmployeeMaster!D4:D6)</f>
        <v>West</v>
      </c>
    </row>
    <row r="15" spans="1:11" x14ac:dyDescent="0.25">
      <c r="G15" t="s">
        <v>14</v>
      </c>
      <c r="H15">
        <f>_xlfn.XLOOKUP(G15,ProductMaster!A5:A9,ProductMaster!D5:D9)</f>
        <v>800</v>
      </c>
    </row>
    <row r="16" spans="1:11" x14ac:dyDescent="0.25">
      <c r="G16" t="s">
        <v>41</v>
      </c>
      <c r="H16">
        <f>_xlfn.XLOOKUP(G16,ProductMaster!A6:A10,ProductMaster!D6:D10)</f>
        <v>1000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E4" sqref="E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28515625" bestFit="1" customWidth="1"/>
    <col min="4" max="4" width="9.5703125" bestFit="1" customWidth="1"/>
  </cols>
  <sheetData>
    <row r="1" spans="1:4" x14ac:dyDescent="0.25">
      <c r="A1" t="s">
        <v>1</v>
      </c>
      <c r="B1" t="s">
        <v>16</v>
      </c>
      <c r="C1" t="s">
        <v>17</v>
      </c>
      <c r="D1" t="s">
        <v>18</v>
      </c>
    </row>
    <row r="2" spans="1:4" x14ac:dyDescent="0.25">
      <c r="A2" t="s">
        <v>5</v>
      </c>
      <c r="B2" t="s">
        <v>19</v>
      </c>
      <c r="C2" t="s">
        <v>20</v>
      </c>
      <c r="D2">
        <v>40</v>
      </c>
    </row>
    <row r="3" spans="1:4" x14ac:dyDescent="0.25">
      <c r="A3" t="s">
        <v>8</v>
      </c>
      <c r="B3" t="s">
        <v>21</v>
      </c>
      <c r="C3" t="s">
        <v>20</v>
      </c>
      <c r="D3">
        <v>25</v>
      </c>
    </row>
    <row r="4" spans="1:4" x14ac:dyDescent="0.25">
      <c r="A4" t="s">
        <v>11</v>
      </c>
      <c r="B4" t="s">
        <v>22</v>
      </c>
      <c r="C4" t="s">
        <v>23</v>
      </c>
      <c r="D4">
        <v>200</v>
      </c>
    </row>
    <row r="5" spans="1:4" x14ac:dyDescent="0.25">
      <c r="A5" t="s">
        <v>14</v>
      </c>
      <c r="B5" t="s">
        <v>24</v>
      </c>
      <c r="C5" t="s">
        <v>23</v>
      </c>
      <c r="D5">
        <v>800</v>
      </c>
    </row>
    <row r="6" spans="1:4" x14ac:dyDescent="0.25">
      <c r="A6" t="s">
        <v>37</v>
      </c>
      <c r="B6" t="s">
        <v>38</v>
      </c>
      <c r="C6" t="s">
        <v>23</v>
      </c>
      <c r="D6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t="s">
        <v>2</v>
      </c>
      <c r="B1" t="s">
        <v>25</v>
      </c>
      <c r="C1" t="s">
        <v>26</v>
      </c>
      <c r="D1" t="s">
        <v>27</v>
      </c>
    </row>
    <row r="2" spans="1:4" x14ac:dyDescent="0.25">
      <c r="A2" t="s">
        <v>6</v>
      </c>
      <c r="B2" t="s">
        <v>28</v>
      </c>
      <c r="C2" t="s">
        <v>29</v>
      </c>
      <c r="D2" t="s">
        <v>30</v>
      </c>
    </row>
    <row r="3" spans="1:4" x14ac:dyDescent="0.25">
      <c r="A3" t="s">
        <v>9</v>
      </c>
      <c r="B3" t="s">
        <v>31</v>
      </c>
      <c r="C3" t="s">
        <v>32</v>
      </c>
      <c r="D3" t="s">
        <v>33</v>
      </c>
    </row>
    <row r="4" spans="1:4" x14ac:dyDescent="0.25">
      <c r="A4" t="s">
        <v>12</v>
      </c>
      <c r="B4" t="s">
        <v>34</v>
      </c>
      <c r="C4" t="s">
        <v>29</v>
      </c>
      <c r="D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ProductMaster</vt:lpstr>
      <vt:lpstr>EmployeeMaster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2025-12-24T07:04:54Z</cp:lastPrinted>
  <dcterms:created xsi:type="dcterms:W3CDTF">2025-12-24T05:32:59Z</dcterms:created>
  <dcterms:modified xsi:type="dcterms:W3CDTF">2025-12-24T07:24:31Z</dcterms:modified>
</cp:coreProperties>
</file>