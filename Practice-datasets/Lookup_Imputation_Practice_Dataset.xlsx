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Analytics\DA _ANB13\Excel\"/>
    </mc:Choice>
  </mc:AlternateContent>
  <xr:revisionPtr revIDLastSave="0" documentId="13_ncr:1_{4514A144-700E-43CB-99D2-E0686F42C61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ales" sheetId="1" r:id="rId1"/>
    <sheet name="ProductMaster" sheetId="2" r:id="rId2"/>
    <sheet name="EmployeeMas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" i="2" l="1"/>
  <c r="H6" i="2"/>
  <c r="H8" i="1"/>
  <c r="E3" i="2" a="1"/>
  <c r="E3" i="2" s="1"/>
  <c r="E4" i="2" a="1"/>
  <c r="E4" i="2" s="1"/>
  <c r="E5" i="2" a="1"/>
  <c r="E5" i="2" s="1"/>
  <c r="E2" i="2" a="1"/>
  <c r="E2" i="2"/>
  <c r="D3" i="2"/>
  <c r="D4" i="2"/>
  <c r="D5" i="2"/>
  <c r="D2" i="2"/>
  <c r="F3" i="1"/>
  <c r="F4" i="1"/>
  <c r="F5" i="1"/>
  <c r="F6" i="1"/>
  <c r="F2" i="1"/>
  <c r="E3" i="1"/>
  <c r="E4" i="1"/>
  <c r="E5" i="1"/>
  <c r="E6" i="1"/>
  <c r="E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<sst xmlns="http://schemas.openxmlformats.org/spreadsheetml/2006/main" count="50" uniqueCount="38">
  <si>
    <t>Order ID</t>
  </si>
  <si>
    <t>Product ID</t>
  </si>
  <si>
    <t>Employee ID</t>
  </si>
  <si>
    <t>Units Sold</t>
  </si>
  <si>
    <t>O001</t>
  </si>
  <si>
    <t>P101</t>
  </si>
  <si>
    <t>E01</t>
  </si>
  <si>
    <t>O002</t>
  </si>
  <si>
    <t>P102</t>
  </si>
  <si>
    <t>E02</t>
  </si>
  <si>
    <t>O003</t>
  </si>
  <si>
    <t>E03</t>
  </si>
  <si>
    <t>O004</t>
  </si>
  <si>
    <t>P104</t>
  </si>
  <si>
    <t>O005</t>
  </si>
  <si>
    <t>Product Name</t>
  </si>
  <si>
    <t>Category</t>
  </si>
  <si>
    <t>Unit Price</t>
  </si>
  <si>
    <t>Keyboard</t>
  </si>
  <si>
    <t>Accessories</t>
  </si>
  <si>
    <t>Mouse</t>
  </si>
  <si>
    <t>P103</t>
  </si>
  <si>
    <t>Monitor</t>
  </si>
  <si>
    <t>Electronics</t>
  </si>
  <si>
    <t>Laptop</t>
  </si>
  <si>
    <t>Employee Name</t>
  </si>
  <si>
    <t>Department</t>
  </si>
  <si>
    <t>Region</t>
  </si>
  <si>
    <t>Alice</t>
  </si>
  <si>
    <t>Sales</t>
  </si>
  <si>
    <t>North</t>
  </si>
  <si>
    <t>Bob</t>
  </si>
  <si>
    <t>East</t>
  </si>
  <si>
    <t>West</t>
  </si>
  <si>
    <t>Units Missing</t>
  </si>
  <si>
    <t>Unit sold - Imputed</t>
  </si>
  <si>
    <t>Category missing</t>
  </si>
  <si>
    <t>Category Imputed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</si>
</sst>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H9" sqref="H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34</v>
      </c>
      <c r="F1" t="s">
        <v>35</v>
      </c>
    </row>
    <row r="2" spans="1:8" x14ac:dyDescent="0.25">
      <c r="A2" t="s">
        <v>4</v>
      </c>
      <c r="B2" t="s">
        <v>5</v>
      </c>
      <c r="C2" t="s">
        <v>6</v>
      </c>
      <c r="D2">
        <v>5</v>
      </c>
      <c r="E2">
        <f>IF($D2="","Missing",$D2)</f>
        <v>5</v>
      </c>
      <c r="F2">
        <f>IF($D2="",MEDIAN($D$2:$D$6),$D2)</f>
        <v>5</v>
      </c>
    </row>
    <row r="3" spans="1:8" x14ac:dyDescent="0.25">
      <c r="A3" t="s">
        <v>7</v>
      </c>
      <c r="B3" t="s">
        <v>8</v>
      </c>
      <c r="C3" t="s">
        <v>9</v>
      </c>
      <c r="E3" t="str">
        <f t="shared" ref="E3:E6" si="0">IF($D3="","Missing",$D3)</f>
        <v>Missing</v>
      </c>
      <c r="F3">
        <f t="shared" ref="F3:F6" si="1">IF($D3="",MEDIAN($D$2:$D$6),$D3)</f>
        <v>5</v>
      </c>
    </row>
    <row r="4" spans="1:8" x14ac:dyDescent="0.25">
      <c r="A4" t="s">
        <v>10</v>
      </c>
      <c r="C4" t="s">
        <v>11</v>
      </c>
      <c r="D4">
        <v>8</v>
      </c>
      <c r="E4">
        <f t="shared" si="0"/>
        <v>8</v>
      </c>
      <c r="F4">
        <f t="shared" si="1"/>
        <v>8</v>
      </c>
    </row>
    <row r="5" spans="1:8" x14ac:dyDescent="0.25">
      <c r="A5" t="s">
        <v>12</v>
      </c>
      <c r="B5" t="s">
        <v>13</v>
      </c>
      <c r="D5">
        <v>2</v>
      </c>
      <c r="E5">
        <f t="shared" si="0"/>
        <v>2</v>
      </c>
      <c r="F5">
        <f t="shared" si="1"/>
        <v>2</v>
      </c>
    </row>
    <row r="6" spans="1:8" x14ac:dyDescent="0.25">
      <c r="A6" t="s">
        <v>14</v>
      </c>
      <c r="B6" t="s">
        <v>8</v>
      </c>
      <c r="C6" t="s">
        <v>11</v>
      </c>
      <c r="E6" t="str">
        <f t="shared" si="0"/>
        <v>Missing</v>
      </c>
      <c r="F6">
        <f t="shared" si="1"/>
        <v>5</v>
      </c>
    </row>
    <row r="8" spans="1:8" x14ac:dyDescent="0.25">
      <c r="H8">
        <f>INDEX(F2:F6,4)</f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abSelected="1" workbookViewId="0">
      <selection activeCell="H12" sqref="H12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11.28515625" bestFit="1" customWidth="1"/>
    <col min="4" max="4" width="16.140625" bestFit="1" customWidth="1"/>
    <col min="5" max="5" width="17" bestFit="1" customWidth="1"/>
    <col min="6" max="6" width="9.5703125" bestFit="1" customWidth="1"/>
  </cols>
  <sheetData>
    <row r="1" spans="1:8" x14ac:dyDescent="0.25">
      <c r="A1" t="s">
        <v>1</v>
      </c>
      <c r="B1" t="s">
        <v>15</v>
      </c>
      <c r="C1" t="s">
        <v>16</v>
      </c>
      <c r="D1" t="s">
        <v>36</v>
      </c>
      <c r="E1" t="s">
        <v>37</v>
      </c>
      <c r="F1" t="s">
        <v>17</v>
      </c>
    </row>
    <row r="2" spans="1:8" x14ac:dyDescent="0.25">
      <c r="A2" t="s">
        <v>5</v>
      </c>
      <c r="B2" t="s">
        <v>18</v>
      </c>
      <c r="C2" t="s">
        <v>19</v>
      </c>
      <c r="D2" t="str">
        <f>IF($C2="","Missing",$C2)</f>
        <v>Accessories</v>
      </c>
      <c r="E2" t="str" cm="1">
        <f t="array" ref="E2">IF($C2="",_xlfn.MODE.MULT($C$2:$C$5),$C2)</f>
        <v>Accessories</v>
      </c>
      <c r="F2">
        <v>40</v>
      </c>
    </row>
    <row r="3" spans="1:8" x14ac:dyDescent="0.25">
      <c r="A3" t="s">
        <v>8</v>
      </c>
      <c r="B3" t="s">
        <v>20</v>
      </c>
      <c r="D3" t="str">
        <f t="shared" ref="D3:D5" si="0">IF($C3="","Missing",$C3)</f>
        <v>Missing</v>
      </c>
      <c r="E3" t="e" cm="1">
        <f t="array" ref="E3">IF($C3="",_xlfn.MODE.MULT($C$2:$C$5),$C3)</f>
        <v>#N/A</v>
      </c>
      <c r="F3">
        <v>25</v>
      </c>
    </row>
    <row r="4" spans="1:8" x14ac:dyDescent="0.25">
      <c r="A4" t="s">
        <v>21</v>
      </c>
      <c r="B4" t="s">
        <v>22</v>
      </c>
      <c r="C4" t="s">
        <v>23</v>
      </c>
      <c r="D4" t="str">
        <f t="shared" si="0"/>
        <v>Electronics</v>
      </c>
      <c r="E4" t="str" cm="1">
        <f t="array" ref="E4">IF($C4="",_xlfn.MODE.MULT($C$2:$C$5),$C4)</f>
        <v>Electronics</v>
      </c>
    </row>
    <row r="5" spans="1:8" x14ac:dyDescent="0.25">
      <c r="A5" t="s">
        <v>13</v>
      </c>
      <c r="B5" t="s">
        <v>24</v>
      </c>
      <c r="C5" t="s">
        <v>23</v>
      </c>
      <c r="D5" t="str">
        <f t="shared" si="0"/>
        <v>Electronics</v>
      </c>
      <c r="E5" t="str" cm="1">
        <f t="array" ref="E5">IF($C5="",_xlfn.MODE.MULT($C$2:$C$5),$C5)</f>
        <v>Electronics</v>
      </c>
      <c r="F5">
        <v>800</v>
      </c>
    </row>
    <row r="6" spans="1:8" x14ac:dyDescent="0.25">
      <c r="H6">
        <f>MATCH("Mouse",B2:B5)</f>
        <v>2</v>
      </c>
    </row>
    <row r="11" spans="1:8" x14ac:dyDescent="0.25">
      <c r="H11">
        <f>INDEX(F2:F5,MATCH("Laptop",B2:B5,0))</f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5" x14ac:dyDescent="0.25"/>
  <sheetData>
    <row r="1" spans="1:4" x14ac:dyDescent="0.25">
      <c r="A1" t="s">
        <v>2</v>
      </c>
      <c r="B1" t="s">
        <v>25</v>
      </c>
      <c r="C1" t="s">
        <v>26</v>
      </c>
      <c r="D1" t="s">
        <v>27</v>
      </c>
    </row>
    <row r="2" spans="1:4" x14ac:dyDescent="0.25">
      <c r="A2" t="s">
        <v>6</v>
      </c>
      <c r="B2" t="s">
        <v>28</v>
      </c>
      <c r="C2" t="s">
        <v>29</v>
      </c>
      <c r="D2" t="s">
        <v>30</v>
      </c>
    </row>
    <row r="3" spans="1:4" x14ac:dyDescent="0.25">
      <c r="A3" t="s">
        <v>9</v>
      </c>
      <c r="B3" t="s">
        <v>31</v>
      </c>
      <c r="D3" t="s">
        <v>32</v>
      </c>
    </row>
    <row r="4" spans="1:4" x14ac:dyDescent="0.25">
      <c r="A4" t="s">
        <v>11</v>
      </c>
      <c r="C4" t="s">
        <v>29</v>
      </c>
      <c r="D4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ProductMaster</vt:lpstr>
      <vt:lpstr>EmployeeMaster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2025-12-24T07:27:04Z</dcterms:created>
  <dcterms:modified xsi:type="dcterms:W3CDTF">2025-12-24T08:41:05Z</dcterms:modified>
</cp:coreProperties>
</file>